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5375" windowHeight="9465"/>
  </bookViews>
  <sheets>
    <sheet name="明细"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<sst xmlns="http://schemas.openxmlformats.org/spreadsheetml/2006/main" count="309" uniqueCount="159">
  <si>
    <t>商家编号</t>
  </si>
  <si>
    <t>业务单号</t>
  </si>
  <si>
    <t>运单号</t>
  </si>
  <si>
    <t>平台订单号</t>
  </si>
  <si>
    <t>商家订单号</t>
  </si>
  <si>
    <t>退回件关联运单号</t>
  </si>
  <si>
    <t>签单返还单号</t>
  </si>
  <si>
    <t>三方单号</t>
  </si>
  <si>
    <t>商家名称</t>
  </si>
  <si>
    <t>单据类型</t>
  </si>
  <si>
    <t>订单来源</t>
  </si>
  <si>
    <t>下单时间</t>
  </si>
  <si>
    <t>揽收时间</t>
  </si>
  <si>
    <t>始发省</t>
  </si>
  <si>
    <t>始发市</t>
  </si>
  <si>
    <t>目的省</t>
  </si>
  <si>
    <t>目的市</t>
  </si>
  <si>
    <t>寄件人</t>
  </si>
  <si>
    <t>寄件人电话</t>
  </si>
  <si>
    <t>寄件人地址</t>
  </si>
  <si>
    <t>寄件网点</t>
  </si>
  <si>
    <t>寄件时间</t>
  </si>
  <si>
    <t>收件人</t>
  </si>
  <si>
    <t>收件人电话</t>
  </si>
  <si>
    <t>收件人地址</t>
  </si>
  <si>
    <t>派件网点</t>
  </si>
  <si>
    <t>计费重量</t>
  </si>
  <si>
    <t>实际重量(kg)</t>
  </si>
  <si>
    <t>实际体积(cm3)</t>
  </si>
  <si>
    <t>首重重量(kg)</t>
  </si>
  <si>
    <t>续重重量(kg)</t>
  </si>
  <si>
    <t>首重单价</t>
  </si>
  <si>
    <t>续重单价</t>
  </si>
  <si>
    <t>包裹/耗材数量</t>
  </si>
  <si>
    <t>耗材型号</t>
  </si>
  <si>
    <t>托寄物内容</t>
  </si>
  <si>
    <t>产品类型</t>
  </si>
  <si>
    <t>订单类型</t>
  </si>
  <si>
    <t>报价类型</t>
  </si>
  <si>
    <t>支付类型</t>
  </si>
  <si>
    <t>暂存天数</t>
  </si>
  <si>
    <t>超期天数</t>
  </si>
  <si>
    <t>公里数</t>
  </si>
  <si>
    <t>费用类型</t>
  </si>
  <si>
    <t>原始金额</t>
  </si>
  <si>
    <t>折扣/促销金额</t>
  </si>
  <si>
    <t>声明价值</t>
  </si>
  <si>
    <t>调账金额</t>
  </si>
  <si>
    <t>结算金额</t>
  </si>
  <si>
    <t>快递改址费</t>
  </si>
  <si>
    <t>快递超长超重</t>
  </si>
  <si>
    <t>快递运费</t>
  </si>
  <si>
    <t>保价费</t>
  </si>
  <si>
    <t>应结算金额</t>
  </si>
  <si>
    <t>代收金额</t>
  </si>
  <si>
    <t>统计模式</t>
  </si>
  <si>
    <t>标价事后折折扣信息</t>
  </si>
  <si>
    <t>客户结算方式</t>
  </si>
  <si>
    <t>结算备注</t>
  </si>
  <si>
    <t>签收时间</t>
  </si>
  <si>
    <t>运单最终状态</t>
  </si>
  <si>
    <t>计费时间</t>
  </si>
  <si>
    <t>计费时运单状态</t>
  </si>
  <si>
    <t>客户下单账号</t>
  </si>
  <si>
    <t>揽收员编号</t>
  </si>
  <si>
    <t>店铺编码</t>
  </si>
  <si>
    <t>温层</t>
  </si>
  <si>
    <t>计费过程</t>
  </si>
  <si>
    <t>成本中心</t>
  </si>
  <si>
    <t>赔付单号</t>
  </si>
  <si>
    <t>下单备注</t>
  </si>
  <si>
    <t>收件人公司(通用)</t>
  </si>
  <si>
    <t>商家门店编码</t>
  </si>
  <si>
    <t>寄件人区域</t>
  </si>
  <si>
    <t>寄件人公司</t>
  </si>
  <si>
    <t>收件人区域</t>
  </si>
  <si>
    <t>收件人公司</t>
  </si>
  <si>
    <t>标价统计日期</t>
  </si>
  <si>
    <t>承运商</t>
  </si>
  <si>
    <t>计费id</t>
  </si>
  <si>
    <t>标价价格组成</t>
  </si>
  <si>
    <t>标价事前折折扣信息</t>
  </si>
  <si>
    <t>折扣类型</t>
  </si>
  <si>
    <t>事后折折扣计算过程</t>
  </si>
  <si>
    <t>事前折折扣计算过程</t>
  </si>
  <si>
    <t>续重单价2</t>
  </si>
  <si>
    <t>承运商名称</t>
  </si>
  <si>
    <t>020K274012</t>
  </si>
  <si>
    <t>JDV017589375500</t>
  </si>
  <si>
    <t>PCB_JLC_JD_NEW_6701761</t>
  </si>
  <si>
    <t/>
  </si>
  <si>
    <t>深圳嘉立创科技集团股份有限公司</t>
  </si>
  <si>
    <t>纯配</t>
  </si>
  <si>
    <t>JOS</t>
  </si>
  <si>
    <t>2024-09-28 10:40:24</t>
  </si>
  <si>
    <t>2024-10-04 10:10:40</t>
  </si>
  <si>
    <t>广东</t>
  </si>
  <si>
    <t>珠海市</t>
  </si>
  <si>
    <t>北京</t>
  </si>
  <si>
    <t>密云区</t>
  </si>
  <si>
    <t>陈涛</t>
  </si>
  <si>
    <t>广东省珠海市斗门区乾务镇富山工业园先进电子（2栋2楼发货部）</t>
  </si>
  <si>
    <t>I珠海嘉立创驻场营业点</t>
  </si>
  <si>
    <t>杨勇</t>
  </si>
  <si>
    <t>135****8990</t>
  </si>
  <si>
    <t>北京密云区十里堡镇北京市北京市密云区北京市密云区云腾路7号  合纵科技股份有限公司</t>
  </si>
  <si>
    <t>北京明珠花园营业部</t>
  </si>
  <si>
    <t>0.50400000</t>
  </si>
  <si>
    <t>0.3600</t>
  </si>
  <si>
    <t>4032.0000</t>
  </si>
  <si>
    <t>1</t>
  </si>
  <si>
    <t>托寄物,数码产品</t>
  </si>
  <si>
    <t>ed-m-0001</t>
  </si>
  <si>
    <t>普通月结</t>
  </si>
  <si>
    <t>普通标准单</t>
  </si>
  <si>
    <t>2024-10-06 16:30:24</t>
  </si>
  <si>
    <t>妥投</t>
  </si>
  <si>
    <t>2024-10-04</t>
  </si>
  <si>
    <t>sz_jlc</t>
  </si>
  <si>
    <t>23728204</t>
  </si>
  <si>
    <t>普通</t>
  </si>
  <si>
    <t>which('重量【0.3600】&lt;=首重重量【1】','首重报价【4.9】','(首重报价【4.9】+(configRound("重量【0.3600】")-首重重量【1】)*续重报价【3.42】)')</t>
  </si>
  <si>
    <t>1842025840221802496</t>
  </si>
  <si>
    <t>4.9,首重价格;1,首重;3.42,续重价格;</t>
  </si>
  <si>
    <t>JDV017608637930</t>
  </si>
  <si>
    <t>PCB_JLC_JD_NEW_6711138</t>
  </si>
  <si>
    <t>2024-09-29 14:54:02</t>
  </si>
  <si>
    <t>2024-10-03 16:52:24</t>
  </si>
  <si>
    <t>河南</t>
  </si>
  <si>
    <t>郑州市</t>
  </si>
  <si>
    <t>王柏友</t>
  </si>
  <si>
    <t>广东省珠海市斗门区斗门区乾务镇先进电子工业园3栋1楼</t>
  </si>
  <si>
    <t>薛天立</t>
  </si>
  <si>
    <t>198****9225</t>
  </si>
  <si>
    <t>河南郑州市中原区沟赵乡河南省郑州市中原区沟赵乡科学大道136号郑州轻工业大学科学校区菜鸟驿站</t>
  </si>
  <si>
    <t>郑州轻工业小蜜蜂</t>
  </si>
  <si>
    <t>0.4000</t>
  </si>
  <si>
    <t>2394.0000</t>
  </si>
  <si>
    <t>2024-10-05 14:11:43</t>
  </si>
  <si>
    <t>2024-10-03</t>
  </si>
  <si>
    <t>which('重量【0.4000】&lt;=首重重量【1】','首重报价【4.9】','(首重报价【4.9】+(configRound("重量【0.4000】")-首重重量【1】)*续重报价【2.28】)')</t>
  </si>
  <si>
    <t>1841764536794578944</t>
  </si>
  <si>
    <t>4.9,首重价格;1,首重;2.28,续重价格;</t>
  </si>
  <si>
    <t>JDV017618677520</t>
  </si>
  <si>
    <t>PCB_JLC_JD_NEW_6714609</t>
  </si>
  <si>
    <t>2024-09-30 03:19:40</t>
  </si>
  <si>
    <t>2024-10-04 10:03:26</t>
  </si>
  <si>
    <t>深圳市</t>
  </si>
  <si>
    <t>肖水金</t>
  </si>
  <si>
    <t>171****9464</t>
  </si>
  <si>
    <t>广东深圳市宝安区石岩街道广东省深圳市宝安区石岩街道塘头一号路8号创维创新谷2#南-B0710单元</t>
  </si>
  <si>
    <t>深圳百旺营业部</t>
  </si>
  <si>
    <t>1.36500000</t>
  </si>
  <si>
    <t>1.0000</t>
  </si>
  <si>
    <t>10920.0000</t>
  </si>
  <si>
    <t>2024-10-05 10:21:33</t>
  </si>
  <si>
    <t>which('重量【1.0000】&lt;=首重重量【1】','首重报价【3.7】','(首重报价【3.7】+(configRound("重量【1.0000】")-首重重量【1】)*续重报价【0.6】)')</t>
  </si>
  <si>
    <t>1842024006216212480</t>
  </si>
  <si>
    <t>3.7,首重价格;1,首重;0.6,续重价格;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</si>
</sst>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1"/>
      <color theme="1"/>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xf numFmtId="0" fontId="0" fillId="0" borderId="0">
      <alignment vertical="center"/>
    </xf>
  </cellStyleXfs>
  <cellXfs count="5">
    <xf numFmtId="0" fontId="0" fillId="0" borderId="0" xfId="0">
      <alignment vertical="center"/>
    </xf>
    <xf numFmtId="0" fontId="0" fillId="0" borderId="0" xfId="0" applyAlignment="1">
      <alignment vertical="center" wrapText="1"/>
    </xf>
    <xf numFmtId="0" fontId="0" fillId="2" borderId="0" xfId="0" applyFill="1">
      <alignment vertical="center"/>
    </xf>
    <xf numFmtId="0" fontId="1" fillId="0" borderId="1" xfId="0" applyFont="1" applyBorder="1" applyAlignment="1">
      <alignment horizontal="center" vertical="center" wrapText="1"/>
    </xf>
    <xf numFmtId="0" fontId="1" fillId="2" borderId="0"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I4"/>
  <sheetViews>
    <sheetView tabSelected="1" workbookViewId="0">
      <pane ySplit="1" topLeftCell="A3" activePane="bottomLeft" state="frozen"/>
      <selection/>
      <selection pane="bottomLeft" activeCell="I15" sqref="I15"/>
    </sheetView>
  </sheetViews>
  <sheetFormatPr defaultColWidth="9" defaultRowHeight="13.5" outlineLevelRow="3"/>
  <cols>
    <col min="21" max="21" width="23.125" customWidth="1"/>
    <col min="37" max="37" width="21.125" customWidth="1"/>
    <col min="54" max="54" width="9" style="2"/>
  </cols>
  <sheetData>
    <row r="1" s="1" customFormat="1" ht="33.75" customHeight="1" spans="1:8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3" t="s">
        <v>49</v>
      </c>
      <c r="AY1" s="3" t="s">
        <v>50</v>
      </c>
      <c r="AZ1" s="3" t="s">
        <v>51</v>
      </c>
      <c r="BA1" s="3" t="s">
        <v>52</v>
      </c>
      <c r="BB1" s="4"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row>
    <row r="2" spans="1:87">
      <c r="A2" t="s">
        <v>87</v>
      </c>
      <c r="B2" t="s">
        <v>88</v>
      </c>
      <c r="C2" t="s">
        <v>88</v>
      </c>
      <c r="D2" t="s">
        <v>89</v>
      </c>
      <c r="E2" t="s">
        <v>89</v>
      </c>
      <c r="F2" t="s">
        <v>90</v>
      </c>
      <c r="G2" t="s">
        <v>90</v>
      </c>
      <c r="H2" t="s">
        <v>90</v>
      </c>
      <c r="I2" t="s">
        <v>91</v>
      </c>
      <c r="J2" t="s">
        <v>92</v>
      </c>
      <c r="K2" t="s">
        <v>93</v>
      </c>
      <c r="L2" t="s">
        <v>94</v>
      </c>
      <c r="M2" t="s">
        <v>95</v>
      </c>
      <c r="N2" t="s">
        <v>96</v>
      </c>
      <c r="O2" t="s">
        <v>97</v>
      </c>
      <c r="P2" t="s">
        <v>98</v>
      </c>
      <c r="Q2" t="s">
        <v>99</v>
      </c>
      <c r="R2" t="s">
        <v>100</v>
      </c>
      <c r="S2" t="s">
        <v>90</v>
      </c>
      <c r="T2" t="s">
        <v>101</v>
      </c>
      <c r="U2" t="s">
        <v>102</v>
      </c>
      <c r="V2" t="s">
        <v>94</v>
      </c>
      <c r="W2" t="s">
        <v>103</v>
      </c>
      <c r="X2" t="s">
        <v>104</v>
      </c>
      <c r="Y2" t="s">
        <v>105</v>
      </c>
      <c r="Z2" t="s">
        <v>106</v>
      </c>
      <c r="AA2" t="s">
        <v>107</v>
      </c>
      <c r="AB2" t="s">
        <v>108</v>
      </c>
      <c r="AC2" t="s">
        <v>109</v>
      </c>
      <c r="AD2" t="s">
        <v>110</v>
      </c>
      <c r="AE2" t="s">
        <v>90</v>
      </c>
      <c r="AF2">
        <v>4.9</v>
      </c>
      <c r="AG2">
        <v>3.42</v>
      </c>
      <c r="AH2">
        <v>1</v>
      </c>
      <c r="AI2" t="s">
        <v>90</v>
      </c>
      <c r="AJ2" t="s">
        <v>111</v>
      </c>
      <c r="AK2" t="s">
        <v>112</v>
      </c>
      <c r="AL2" t="s">
        <v>90</v>
      </c>
      <c r="AM2" t="s">
        <v>90</v>
      </c>
      <c r="AN2" t="s">
        <v>90</v>
      </c>
      <c r="AO2" t="s">
        <v>90</v>
      </c>
      <c r="AP2" t="s">
        <v>90</v>
      </c>
      <c r="AQ2" t="s">
        <v>90</v>
      </c>
      <c r="AR2" t="s">
        <v>51</v>
      </c>
      <c r="AS2">
        <v>4.9</v>
      </c>
      <c r="AT2">
        <v>0</v>
      </c>
      <c r="AU2" t="s">
        <v>90</v>
      </c>
      <c r="AV2">
        <v>0</v>
      </c>
      <c r="AW2">
        <v>4.9</v>
      </c>
      <c r="BB2" s="2">
        <f>AW2+AX2+AY2+AZ2+BA2</f>
        <v>4.9</v>
      </c>
      <c r="BC2">
        <v>0</v>
      </c>
      <c r="BD2" t="s">
        <v>90</v>
      </c>
      <c r="BE2" t="s">
        <v>90</v>
      </c>
      <c r="BF2" t="s">
        <v>113</v>
      </c>
      <c r="BG2" t="s">
        <v>114</v>
      </c>
      <c r="BH2" t="s">
        <v>115</v>
      </c>
      <c r="BI2" t="s">
        <v>116</v>
      </c>
      <c r="BJ2" t="s">
        <v>117</v>
      </c>
      <c r="BK2" t="s">
        <v>90</v>
      </c>
      <c r="BL2" t="s">
        <v>118</v>
      </c>
      <c r="BM2" t="s">
        <v>119</v>
      </c>
      <c r="BN2" t="s">
        <v>90</v>
      </c>
      <c r="BO2" t="s">
        <v>120</v>
      </c>
      <c r="BP2" t="s">
        <v>121</v>
      </c>
      <c r="BQ2" t="s">
        <v>90</v>
      </c>
      <c r="BR2" t="s">
        <v>90</v>
      </c>
      <c r="BS2" t="s">
        <v>90</v>
      </c>
      <c r="BT2" t="s">
        <v>90</v>
      </c>
      <c r="BU2" t="s">
        <v>90</v>
      </c>
      <c r="BV2" t="s">
        <v>90</v>
      </c>
      <c r="BW2" t="s">
        <v>91</v>
      </c>
      <c r="BX2" t="s">
        <v>90</v>
      </c>
      <c r="BY2" t="s">
        <v>90</v>
      </c>
      <c r="BZ2" t="s">
        <v>90</v>
      </c>
      <c r="CA2" t="s">
        <v>90</v>
      </c>
      <c r="CB2" t="s">
        <v>122</v>
      </c>
      <c r="CC2" t="s">
        <v>123</v>
      </c>
      <c r="CD2" t="s">
        <v>90</v>
      </c>
      <c r="CE2" t="s">
        <v>90</v>
      </c>
      <c r="CF2" t="s">
        <v>90</v>
      </c>
      <c r="CG2" t="s">
        <v>90</v>
      </c>
      <c r="CH2" t="s">
        <v>90</v>
      </c>
      <c r="CI2" t="s">
        <v>90</v>
      </c>
    </row>
    <row r="3" spans="1:87">
      <c r="A3" t="s">
        <v>87</v>
      </c>
      <c r="B3" t="s">
        <v>124</v>
      </c>
      <c r="C3" t="s">
        <v>124</v>
      </c>
      <c r="D3" t="s">
        <v>125</v>
      </c>
      <c r="E3" t="s">
        <v>125</v>
      </c>
      <c r="F3" t="s">
        <v>90</v>
      </c>
      <c r="G3" t="s">
        <v>90</v>
      </c>
      <c r="H3" t="s">
        <v>90</v>
      </c>
      <c r="I3" t="s">
        <v>91</v>
      </c>
      <c r="J3" t="s">
        <v>92</v>
      </c>
      <c r="K3" t="s">
        <v>93</v>
      </c>
      <c r="L3" t="s">
        <v>126</v>
      </c>
      <c r="M3" t="s">
        <v>127</v>
      </c>
      <c r="N3" t="s">
        <v>96</v>
      </c>
      <c r="O3" t="s">
        <v>97</v>
      </c>
      <c r="P3" t="s">
        <v>128</v>
      </c>
      <c r="Q3" t="s">
        <v>129</v>
      </c>
      <c r="R3" t="s">
        <v>130</v>
      </c>
      <c r="S3" t="s">
        <v>90</v>
      </c>
      <c r="T3" t="s">
        <v>131</v>
      </c>
      <c r="U3" t="s">
        <v>102</v>
      </c>
      <c r="V3" t="s">
        <v>126</v>
      </c>
      <c r="W3" t="s">
        <v>132</v>
      </c>
      <c r="X3" t="s">
        <v>133</v>
      </c>
      <c r="Y3" t="s">
        <v>134</v>
      </c>
      <c r="Z3" t="s">
        <v>135</v>
      </c>
      <c r="AA3" t="s">
        <v>136</v>
      </c>
      <c r="AB3" t="s">
        <v>136</v>
      </c>
      <c r="AC3" t="s">
        <v>137</v>
      </c>
      <c r="AD3" t="s">
        <v>110</v>
      </c>
      <c r="AE3" t="s">
        <v>90</v>
      </c>
      <c r="AF3">
        <v>4.9</v>
      </c>
      <c r="AG3">
        <v>2.28</v>
      </c>
      <c r="AH3">
        <v>1</v>
      </c>
      <c r="AI3" t="s">
        <v>90</v>
      </c>
      <c r="AJ3" t="s">
        <v>111</v>
      </c>
      <c r="AK3" t="s">
        <v>112</v>
      </c>
      <c r="AL3" t="s">
        <v>90</v>
      </c>
      <c r="AM3" t="s">
        <v>90</v>
      </c>
      <c r="AN3" t="s">
        <v>90</v>
      </c>
      <c r="AO3" t="s">
        <v>90</v>
      </c>
      <c r="AP3" t="s">
        <v>90</v>
      </c>
      <c r="AQ3" t="s">
        <v>90</v>
      </c>
      <c r="AR3" t="s">
        <v>51</v>
      </c>
      <c r="AS3">
        <v>4.9</v>
      </c>
      <c r="AT3">
        <v>0</v>
      </c>
      <c r="AU3" t="s">
        <v>90</v>
      </c>
      <c r="AV3">
        <v>0</v>
      </c>
      <c r="AW3">
        <v>4.9</v>
      </c>
      <c r="BB3" s="2">
        <f>AW3+AX3+AY3+AZ3+BA3</f>
        <v>4.9</v>
      </c>
      <c r="BC3">
        <v>0</v>
      </c>
      <c r="BD3" t="s">
        <v>90</v>
      </c>
      <c r="BE3" t="s">
        <v>90</v>
      </c>
      <c r="BF3" t="s">
        <v>113</v>
      </c>
      <c r="BG3" t="s">
        <v>114</v>
      </c>
      <c r="BH3" t="s">
        <v>138</v>
      </c>
      <c r="BI3" t="s">
        <v>116</v>
      </c>
      <c r="BJ3" t="s">
        <v>139</v>
      </c>
      <c r="BK3" t="s">
        <v>90</v>
      </c>
      <c r="BL3" t="s">
        <v>118</v>
      </c>
      <c r="BM3" t="s">
        <v>119</v>
      </c>
      <c r="BN3" t="s">
        <v>90</v>
      </c>
      <c r="BO3" t="s">
        <v>120</v>
      </c>
      <c r="BP3" t="s">
        <v>140</v>
      </c>
      <c r="BQ3" t="s">
        <v>90</v>
      </c>
      <c r="BR3" t="s">
        <v>90</v>
      </c>
      <c r="BS3" t="s">
        <v>90</v>
      </c>
      <c r="BT3" t="s">
        <v>90</v>
      </c>
      <c r="BU3" t="s">
        <v>90</v>
      </c>
      <c r="BV3" t="s">
        <v>90</v>
      </c>
      <c r="BW3" t="s">
        <v>91</v>
      </c>
      <c r="BX3" t="s">
        <v>90</v>
      </c>
      <c r="BY3" t="s">
        <v>90</v>
      </c>
      <c r="BZ3" t="s">
        <v>90</v>
      </c>
      <c r="CA3" t="s">
        <v>90</v>
      </c>
      <c r="CB3" t="s">
        <v>141</v>
      </c>
      <c r="CC3" t="s">
        <v>142</v>
      </c>
      <c r="CD3" t="s">
        <v>90</v>
      </c>
      <c r="CE3" t="s">
        <v>90</v>
      </c>
      <c r="CF3" t="s">
        <v>90</v>
      </c>
      <c r="CG3" t="s">
        <v>90</v>
      </c>
      <c r="CH3" t="s">
        <v>90</v>
      </c>
      <c r="CI3" t="s">
        <v>90</v>
      </c>
    </row>
    <row r="4" spans="1:87">
      <c r="A4" t="s">
        <v>87</v>
      </c>
      <c r="B4" t="s">
        <v>143</v>
      </c>
      <c r="C4" t="s">
        <v>143</v>
      </c>
      <c r="D4" t="s">
        <v>144</v>
      </c>
      <c r="E4" t="s">
        <v>144</v>
      </c>
      <c r="F4" t="s">
        <v>90</v>
      </c>
      <c r="G4" t="s">
        <v>90</v>
      </c>
      <c r="H4" t="s">
        <v>90</v>
      </c>
      <c r="I4" t="s">
        <v>91</v>
      </c>
      <c r="J4" t="s">
        <v>92</v>
      </c>
      <c r="K4" t="s">
        <v>93</v>
      </c>
      <c r="L4" t="s">
        <v>145</v>
      </c>
      <c r="M4" t="s">
        <v>146</v>
      </c>
      <c r="N4" t="s">
        <v>96</v>
      </c>
      <c r="O4" t="s">
        <v>97</v>
      </c>
      <c r="P4" t="s">
        <v>96</v>
      </c>
      <c r="Q4" t="s">
        <v>147</v>
      </c>
      <c r="R4" t="s">
        <v>100</v>
      </c>
      <c r="S4" t="s">
        <v>90</v>
      </c>
      <c r="T4" t="s">
        <v>101</v>
      </c>
      <c r="U4" t="s">
        <v>102</v>
      </c>
      <c r="V4" t="s">
        <v>145</v>
      </c>
      <c r="W4" t="s">
        <v>148</v>
      </c>
      <c r="X4" t="s">
        <v>149</v>
      </c>
      <c r="Y4" t="s">
        <v>150</v>
      </c>
      <c r="Z4" t="s">
        <v>151</v>
      </c>
      <c r="AA4" t="s">
        <v>152</v>
      </c>
      <c r="AB4" t="s">
        <v>153</v>
      </c>
      <c r="AC4" t="s">
        <v>154</v>
      </c>
      <c r="AD4" t="s">
        <v>110</v>
      </c>
      <c r="AE4" t="s">
        <v>90</v>
      </c>
      <c r="AF4">
        <v>3.7</v>
      </c>
      <c r="AG4">
        <v>0.6</v>
      </c>
      <c r="AH4">
        <v>1</v>
      </c>
      <c r="AI4" t="s">
        <v>90</v>
      </c>
      <c r="AJ4" t="s">
        <v>111</v>
      </c>
      <c r="AK4" t="s">
        <v>112</v>
      </c>
      <c r="AL4" t="s">
        <v>90</v>
      </c>
      <c r="AM4" t="s">
        <v>90</v>
      </c>
      <c r="AN4" t="s">
        <v>90</v>
      </c>
      <c r="AO4" t="s">
        <v>90</v>
      </c>
      <c r="AP4" t="s">
        <v>90</v>
      </c>
      <c r="AQ4" t="s">
        <v>90</v>
      </c>
      <c r="AR4" t="s">
        <v>51</v>
      </c>
      <c r="AS4">
        <v>3.7</v>
      </c>
      <c r="AT4">
        <v>0</v>
      </c>
      <c r="AU4" t="s">
        <v>90</v>
      </c>
      <c r="AV4">
        <v>0</v>
      </c>
      <c r="AW4">
        <v>3.7</v>
      </c>
      <c r="BB4" s="2">
        <f>AW4+AX4+AY4+AZ4+BA4</f>
        <v>3.7</v>
      </c>
      <c r="BC4">
        <v>0</v>
      </c>
      <c r="BD4" t="s">
        <v>90</v>
      </c>
      <c r="BE4" t="s">
        <v>90</v>
      </c>
      <c r="BF4" t="s">
        <v>113</v>
      </c>
      <c r="BG4" t="s">
        <v>114</v>
      </c>
      <c r="BH4" t="s">
        <v>155</v>
      </c>
      <c r="BI4" t="s">
        <v>116</v>
      </c>
      <c r="BJ4" t="s">
        <v>117</v>
      </c>
      <c r="BK4" t="s">
        <v>90</v>
      </c>
      <c r="BL4" t="s">
        <v>118</v>
      </c>
      <c r="BM4" t="s">
        <v>119</v>
      </c>
      <c r="BN4" t="s">
        <v>90</v>
      </c>
      <c r="BO4" t="s">
        <v>120</v>
      </c>
      <c r="BP4" t="s">
        <v>156</v>
      </c>
      <c r="BQ4" t="s">
        <v>90</v>
      </c>
      <c r="BR4" t="s">
        <v>90</v>
      </c>
      <c r="BS4" t="s">
        <v>90</v>
      </c>
      <c r="BT4" t="s">
        <v>90</v>
      </c>
      <c r="BU4" t="s">
        <v>90</v>
      </c>
      <c r="BV4" t="s">
        <v>90</v>
      </c>
      <c r="BW4" t="s">
        <v>91</v>
      </c>
      <c r="BX4" t="s">
        <v>90</v>
      </c>
      <c r="BY4" t="s">
        <v>90</v>
      </c>
      <c r="BZ4" t="s">
        <v>90</v>
      </c>
      <c r="CA4" t="s">
        <v>90</v>
      </c>
      <c r="CB4" t="s">
        <v>157</v>
      </c>
      <c r="CC4" t="s">
        <v>158</v>
      </c>
      <c r="CD4" t="s">
        <v>90</v>
      </c>
      <c r="CE4" t="s">
        <v>90</v>
      </c>
      <c r="CF4" t="s">
        <v>90</v>
      </c>
      <c r="CG4" t="s">
        <v>90</v>
      </c>
      <c r="CH4" t="s">
        <v>90</v>
      </c>
      <c r="CI4" t="s">
        <v>90</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zhangmingyan3</dc:creator>
  <cp:lastModifiedBy>Administrator</cp:lastModifiedBy>
  <dcterms:created xsi:type="dcterms:W3CDTF">2019-11-11T07:17:00Z</dcterms:created>
  <dcterms:modified xsi:type="dcterms:W3CDTF">2024-11-04T07:31:17Z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DE2D948678E742699B088B2BEB643BB7_12</vt:lpwstr>
  </property>
  <property fmtid="{D5CDD505-2E9C-101B-9397-08002B2CF9AE}" pid="3" name="KSOProductBuildVer">
    <vt:lpwstr>2052-12.1.0.18608</vt:lpwstr>
  </property>
</Properties>
</file>